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<sst xmlns="http://schemas.openxmlformats.org/spreadsheetml/2006/main" count="206" uniqueCount="91">
  <si>
    <t xml:space="preserve">Avancement</t>
  </si>
  <si>
    <t xml:space="preserve">Qui</t>
  </si>
  <si>
    <t xml:space="preserve">Somme - Estimation</t>
  </si>
  <si>
    <t xml:space="preserve">Armella</t>
  </si>
  <si>
    <t xml:space="preserve">Houssena</t>
  </si>
  <si>
    <t xml:space="preserve">Itiela</t>
  </si>
  <si>
    <t xml:space="preserve">(empty)</t>
  </si>
  <si>
    <t xml:space="preserve">Total Result</t>
  </si>
  <si>
    <t xml:space="preserve">Ligne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</si>
  <si>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</si>
  <si>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</si>
  <si>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</si>
  <si>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</si>
  <si>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</si>
  <si>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</si>
  <si>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</si>
  <si>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Status</t>
  </si>
  <si>
    <t xml:space="preserve">Integration Framework</t>
  </si>
  <si>
    <t xml:space="preserve">integration globale du framework Flighten </t>
  </si>
  <si>
    <t xml:space="preserve">Integration</t>
  </si>
  <si>
    <t xml:space="preserve">ok</t>
  </si>
  <si>
    <t xml:space="preserve">header.php</t>
  </si>
  <si>
    <t xml:space="preserve">en tete pour toutes les pages  </t>
  </si>
  <si>
    <t xml:space="preserve">footer.php</t>
  </si>
  <si>
    <t xml:space="preserve">Routes.php</t>
  </si>
  <si>
    <t xml:space="preserve">configuration URL </t>
  </si>
  <si>
    <t xml:space="preserve">wip</t>
  </si>
  <si>
    <t xml:space="preserve">Base de donnees</t>
  </si>
  <si>
    <t xml:space="preserve">Schema.sql</t>
  </si>
  <si>
    <t xml:space="preserve">Creation table users/objet/echange/categories </t>
  </si>
  <si>
    <t xml:space="preserve">dev</t>
  </si>
  <si>
    <t xml:space="preserve">database.php</t>
  </si>
  <si>
    <t xml:space="preserve">configuration connexion Mysql</t>
  </si>
  <si>
    <t xml:space="preserve">backend</t>
  </si>
  <si>
    <t xml:space="preserve">baseModel.php</t>
  </si>
  <si>
    <t xml:space="preserve">model de base (connexion PDO)</t>
  </si>
  <si>
    <t xml:space="preserve">user.php</t>
  </si>
  <si>
    <t xml:space="preserve">model utilisateur (CRUD + auth)</t>
  </si>
  <si>
    <t xml:space="preserve">objet.php</t>
  </si>
  <si>
    <t xml:space="preserve">model objet (CRUD + Categorie +  transfere)</t>
  </si>
  <si>
    <t xml:space="preserve">echange.php</t>
  </si>
  <si>
    <t xml:space="preserve">model echange (propose/ accepte/ refuse)</t>
  </si>
  <si>
    <t xml:space="preserve">AuthoController.php</t>
  </si>
  <si>
    <t xml:space="preserve">logique inscription / connexion / deconnexion </t>
  </si>
  <si>
    <t xml:space="preserve">HomeController.php</t>
  </si>
  <si>
    <t xml:space="preserve">page d accueil avec objet et recent </t>
  </si>
  <si>
    <t xml:space="preserve">ObjetController.php</t>
  </si>
  <si>
    <t xml:space="preserve">gestion objet ( CRUD + Upload Photo)</t>
  </si>
  <si>
    <t xml:space="preserve">UserController.php</t>
  </si>
  <si>
    <t xml:space="preserve">Dashboard + profil Utilisateur </t>
  </si>
  <si>
    <t xml:space="preserve">ExchangeController.php</t>
  </si>
  <si>
    <t xml:space="preserve">Gestion d Echange (proposer/ accepter / refuser </t>
  </si>
  <si>
    <t xml:space="preserve">Vue</t>
  </si>
  <si>
    <t xml:space="preserve">Home/ index.php</t>
  </si>
  <si>
    <t xml:space="preserve">page d accueil (banner + objet recent ) </t>
  </si>
  <si>
    <t xml:space="preserve">Auth/Login.php</t>
  </si>
  <si>
    <t xml:space="preserve">formulaire de connexion </t>
  </si>
  <si>
    <t xml:space="preserve">Auth/Register.php</t>
  </si>
  <si>
    <t xml:space="preserve">formulaire d inscrption </t>
  </si>
  <si>
    <t xml:space="preserve">Objet/index.php</t>
  </si>
  <si>
    <t xml:space="preserve">liste des objets + filtre par categories</t>
  </si>
  <si>
    <t xml:space="preserve">Objet/create.php</t>
  </si>
  <si>
    <t xml:space="preserve">Formulaire d ajout objet + upload photos</t>
  </si>
  <si>
    <t xml:space="preserve">Objet/Show.php</t>
  </si>
  <si>
    <t xml:space="preserve">Details Objet + proposition echange (modal) </t>
  </si>
  <si>
    <t xml:space="preserve">Objet/Edit.php</t>
  </si>
  <si>
    <t xml:space="preserve">formulaire modification objet </t>
  </si>
  <si>
    <t xml:space="preserve">user/dashboard.php</t>
  </si>
  <si>
    <t xml:space="preserve">tableau de bord (stats + liste objet / echange )</t>
  </si>
  <si>
    <t xml:space="preserve">User/profil.php</t>
  </si>
  <si>
    <t xml:space="preserve">Formulaire profil utilisateur </t>
  </si>
  <si>
    <t xml:space="preserve">Exchange/index.php</t>
  </si>
  <si>
    <t xml:space="preserve">liste echange recu/ envoye</t>
  </si>
  <si>
    <t xml:space="preserve">Exchange/propose.php</t>
  </si>
  <si>
    <t xml:space="preserve">Formulaire proposition echange </t>
  </si>
  <si>
    <t xml:space="preserve">Error/404.php</t>
  </si>
  <si>
    <t xml:space="preserve">page erreur 404</t>
  </si>
  <si>
    <t xml:space="preserve">Frontend</t>
  </si>
  <si>
    <t xml:space="preserve">public/ index.php</t>
  </si>
  <si>
    <t xml:space="preserve">Point d entree ( session, PDO, Flight Config) </t>
  </si>
  <si>
    <t xml:space="preserve">Custom.css</t>
  </si>
  <si>
    <t xml:space="preserve">Style personnalise (image Objet )</t>
  </si>
  <si>
    <t xml:space="preserve">custom.js</t>
  </si>
  <si>
    <t xml:space="preserve">Script javascript personnalise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</si>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</sst>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General"/>
    <numFmt numFmtId="167" formatCode="0%"/>
    <numFmt numFmtId="168" formatCode="d/m"/>
  </numFmts>
  <fonts count="9">
    <font>
      <sz val="12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ptos Narrow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27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27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27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31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  <cellStyle name="Pivot Table Corner" xfId="26"/>
    <cellStyle name="Pivot Table Value" xfId="27"/>
    <cellStyle name="Pivot Table Field" xfId="28"/>
    <cellStyle name="Pivot Table Category" xfId="29"/>
    <cellStyle name="Pivot Table Title" xfId="30"/>
    <cellStyle name="Pivot Table Result" xfId="3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B1:K20" sheet="liste des taches"/>
  </cacheSource>
  <cacheFields count="10">
    <cacheField name="Module" numFmtId="0">
      <sharedItems containsBlank="1" count="4">
        <s v="backend"/>
        <s v="Base de donnees"/>
        <s v="Integration Framework"/>
        <m/>
      </sharedItems>
    </cacheField>
    <cacheField name="Nom page" numFmtId="0">
      <sharedItems containsBlank="1" count="15">
        <s v="AuthoController.php"/>
        <s v="baseModel.php"/>
        <s v="database.php"/>
        <s v="echange.php"/>
        <s v="ExchangeController.php"/>
        <s v="footer.php"/>
        <s v="header.php"/>
        <s v="HomeController.php"/>
        <s v="objet.php"/>
        <s v="ObjetController.php"/>
        <s v="Routes.php"/>
        <s v="Schema.sql"/>
        <s v="user.php"/>
        <s v="UserController.php"/>
        <m/>
      </sharedItems>
    </cacheField>
    <cacheField name="Description" numFmtId="0">
      <sharedItems containsBlank="1" count="15">
        <s v="configuration connexion Mysql"/>
        <s v="configuration URL "/>
        <s v="Creation table users/objet/echange/categories "/>
        <s v="Dashboard + profil Utilisateur "/>
        <s v="en tete pour toutes les pages  "/>
        <s v="Gestion d Echange (proposer/ accepter / refuser "/>
        <s v="gestion objet ( CRUD + Upload Photo)"/>
        <s v="integration globale du framework Flighten "/>
        <s v="logique inscription / connexion / deconnexion "/>
        <s v="model de base (connexion PDO)"/>
        <s v="model echange (propose/ accepte/ refuse)"/>
        <s v="model objet (CRUD + Categorie +  transfere)"/>
        <s v="model utilisateur (CRUD + auth)"/>
        <s v="page d accueil avec objet et recent "/>
        <m/>
      </sharedItems>
    </cacheField>
    <cacheField name="Type" numFmtId="0">
      <sharedItems containsBlank="1" count="3">
        <s v="dev"/>
        <s v="Integration"/>
        <m/>
      </sharedItems>
    </cacheField>
    <cacheField name="Estimation" numFmtId="0">
      <sharedItems containsString="0" containsBlank="1" containsNumber="1" containsInteger="1" minValue="2" maxValue="10" count="7">
        <n v="2"/>
        <n v="3"/>
        <n v="4"/>
        <n v="5"/>
        <n v="6"/>
        <n v="10"/>
        <m/>
      </sharedItems>
    </cacheField>
    <cacheField name="Temps passé" numFmtId="0">
      <sharedItems containsString="0" containsBlank="1" count="1">
        <m/>
      </sharedItems>
    </cacheField>
    <cacheField name="Reste à faire" numFmtId="0">
      <sharedItems containsString="0" containsBlank="1" containsNumber="1" containsInteger="1" minValue="0" maxValue="0" count="2">
        <n v="0"/>
        <m/>
      </sharedItems>
    </cacheField>
    <cacheField name="Avancement" numFmtId="0">
      <sharedItems containsBlank="1" count="2">
        <e v="#DIV/0!"/>
        <m/>
      </sharedItems>
    </cacheField>
    <cacheField name="Qui" numFmtId="0">
      <sharedItems containsBlank="1" count="4">
        <s v="Armella"/>
        <s v="Houssena"/>
        <s v="Itiela"/>
        <m/>
      </sharedItems>
    </cacheField>
    <cacheField name="Status" numFmtId="0">
      <sharedItems containsBlank="1" count="3">
        <s v="ok"/>
        <s v="wip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2"/>
    <x v="14"/>
    <x v="7"/>
    <x v="1"/>
    <x v="5"/>
    <x v="0"/>
    <x v="0"/>
    <x v="0"/>
    <x v="0"/>
    <x v="0"/>
  </r>
  <r>
    <x v="2"/>
    <x v="6"/>
    <x v="4"/>
    <x v="1"/>
    <x v="1"/>
    <x v="0"/>
    <x v="1"/>
    <x v="1"/>
    <x v="0"/>
    <x v="0"/>
  </r>
  <r>
    <x v="2"/>
    <x v="5"/>
    <x v="4"/>
    <x v="1"/>
    <x v="1"/>
    <x v="0"/>
    <x v="1"/>
    <x v="1"/>
    <x v="1"/>
    <x v="0"/>
  </r>
  <r>
    <x v="2"/>
    <x v="10"/>
    <x v="1"/>
    <x v="1"/>
    <x v="2"/>
    <x v="0"/>
    <x v="1"/>
    <x v="1"/>
    <x v="1"/>
    <x v="1"/>
  </r>
  <r>
    <x v="3"/>
    <x v="14"/>
    <x v="14"/>
    <x v="2"/>
    <x v="6"/>
    <x v="0"/>
    <x v="1"/>
    <x v="1"/>
    <x v="3"/>
    <x v="0"/>
  </r>
  <r>
    <x v="1"/>
    <x v="11"/>
    <x v="2"/>
    <x v="0"/>
    <x v="2"/>
    <x v="0"/>
    <x v="1"/>
    <x v="1"/>
    <x v="2"/>
    <x v="0"/>
  </r>
  <r>
    <x v="1"/>
    <x v="2"/>
    <x v="0"/>
    <x v="0"/>
    <x v="0"/>
    <x v="0"/>
    <x v="1"/>
    <x v="1"/>
    <x v="2"/>
    <x v="0"/>
  </r>
  <r>
    <x v="3"/>
    <x v="14"/>
    <x v="14"/>
    <x v="2"/>
    <x v="6"/>
    <x v="0"/>
    <x v="1"/>
    <x v="1"/>
    <x v="3"/>
    <x v="0"/>
  </r>
  <r>
    <x v="0"/>
    <x v="1"/>
    <x v="9"/>
    <x v="0"/>
    <x v="0"/>
    <x v="0"/>
    <x v="1"/>
    <x v="1"/>
    <x v="2"/>
    <x v="0"/>
  </r>
  <r>
    <x v="0"/>
    <x v="12"/>
    <x v="12"/>
    <x v="0"/>
    <x v="2"/>
    <x v="0"/>
    <x v="1"/>
    <x v="1"/>
    <x v="0"/>
    <x v="0"/>
  </r>
  <r>
    <x v="0"/>
    <x v="8"/>
    <x v="11"/>
    <x v="0"/>
    <x v="3"/>
    <x v="0"/>
    <x v="1"/>
    <x v="1"/>
    <x v="1"/>
    <x v="0"/>
  </r>
  <r>
    <x v="0"/>
    <x v="3"/>
    <x v="10"/>
    <x v="0"/>
    <x v="3"/>
    <x v="0"/>
    <x v="1"/>
    <x v="1"/>
    <x v="2"/>
    <x v="0"/>
  </r>
  <r>
    <x v="3"/>
    <x v="14"/>
    <x v="14"/>
    <x v="2"/>
    <x v="6"/>
    <x v="0"/>
    <x v="1"/>
    <x v="1"/>
    <x v="3"/>
    <x v="2"/>
  </r>
  <r>
    <x v="0"/>
    <x v="0"/>
    <x v="8"/>
    <x v="0"/>
    <x v="3"/>
    <x v="0"/>
    <x v="1"/>
    <x v="1"/>
    <x v="0"/>
    <x v="0"/>
  </r>
  <r>
    <x v="0"/>
    <x v="7"/>
    <x v="13"/>
    <x v="0"/>
    <x v="0"/>
    <x v="0"/>
    <x v="1"/>
    <x v="1"/>
    <x v="1"/>
    <x v="0"/>
  </r>
  <r>
    <x v="0"/>
    <x v="9"/>
    <x v="6"/>
    <x v="0"/>
    <x v="4"/>
    <x v="0"/>
    <x v="1"/>
    <x v="1"/>
    <x v="2"/>
    <x v="0"/>
  </r>
  <r>
    <x v="0"/>
    <x v="13"/>
    <x v="3"/>
    <x v="0"/>
    <x v="2"/>
    <x v="0"/>
    <x v="1"/>
    <x v="1"/>
    <x v="0"/>
    <x v="0"/>
  </r>
  <r>
    <x v="0"/>
    <x v="4"/>
    <x v="5"/>
    <x v="0"/>
    <x v="4"/>
    <x v="0"/>
    <x v="1"/>
    <x v="1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8" firstHeaderRow="1" firstDataRow="1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5">
        <item x="0"/>
        <item x="1"/>
        <item x="2"/>
        <item x="3"/>
        <item t="default"/>
      </items>
    </pivotField>
    <pivotField compact="0" showAll="0" outline="0"/>
  </pivotFields>
  <rowFields count="1">
    <field x="8"/>
  </rowFields>
  <dataFields count="1">
    <dataField name="Somme - Estimation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34375" defaultRowHeight="15" zeroHeight="false" outlineLevelRow="0" outlineLevelCol="0"/>
  <cols>
    <col collapsed="false" customWidth="true" hidden="false" outlineLevel="0" max="2" min="1" style="1" width="38.17"/>
    <col collapsed="false" customWidth="true" hidden="false" outlineLevel="0" max="26" min="3" style="1" width="8.57"/>
    <col collapsed="false" customWidth="true" hidden="false" outlineLevel="0" max="1024" min="27" style="1" width="9.1"/>
  </cols>
  <sheetData>
    <row r="1" customFormat="false" ht="93.5" hidden="false" customHeight="true" outlineLevel="0" collapsed="false">
      <c r="A1" s="2" t="s">
        <v>0</v>
      </c>
      <c r="B1" s="3" t="n">
        <f aca="false">'avancement projet'!D2</f>
        <v>0.911937377690802</v>
      </c>
    </row>
    <row r="2" customFormat="false" ht="93.5" hidden="false" customHeight="true" outlineLevel="0" collapsed="false">
      <c r="A2" s="4"/>
      <c r="B2" s="4"/>
    </row>
    <row r="3" customFormat="false" ht="93.5" hidden="false" customHeight="true" outlineLevel="0" collapsed="false">
      <c r="A3" s="5" t="s">
        <v>1</v>
      </c>
      <c r="B3" s="6" t="s">
        <v>2</v>
      </c>
    </row>
    <row r="4" customFormat="false" ht="93.5" hidden="false" customHeight="true" outlineLevel="0" collapsed="false">
      <c r="A4" s="7" t="s">
        <v>3</v>
      </c>
      <c r="B4" s="8" t="n">
        <v>26</v>
      </c>
    </row>
    <row r="5" customFormat="false" ht="93.5" hidden="false" customHeight="true" outlineLevel="0" collapsed="false">
      <c r="A5" s="9" t="s">
        <v>4</v>
      </c>
      <c r="B5" s="10" t="n">
        <v>20</v>
      </c>
    </row>
    <row r="6" customFormat="false" ht="93.5" hidden="false" customHeight="true" outlineLevel="0" collapsed="false">
      <c r="A6" s="9" t="s">
        <v>5</v>
      </c>
      <c r="B6" s="10" t="n">
        <v>19</v>
      </c>
    </row>
    <row r="7" customFormat="false" ht="93.5" hidden="false" customHeight="true" outlineLevel="0" collapsed="false">
      <c r="A7" s="9" t="s">
        <v>6</v>
      </c>
      <c r="B7" s="11"/>
    </row>
    <row r="8" customFormat="false" ht="93.5" hidden="false" customHeight="true" outlineLevel="0" collapsed="false">
      <c r="A8" s="12" t="s">
        <v>7</v>
      </c>
      <c r="B8" s="13" t="n">
        <v>65</v>
      </c>
    </row>
    <row r="9" customFormat="false" ht="93.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9" activeCellId="0" sqref="I9"/>
    </sheetView>
  </sheetViews>
  <sheetFormatPr defaultColWidth="9.34375" defaultRowHeight="15" zeroHeight="false" outlineLevelRow="0" outlineLevelCol="0"/>
  <cols>
    <col collapsed="false" customWidth="true" hidden="false" outlineLevel="0" max="1" min="1" style="4" width="16.32"/>
    <col collapsed="false" customWidth="true" hidden="false" outlineLevel="0" max="4" min="2" style="4" width="22.35"/>
    <col collapsed="false" customWidth="true" hidden="false" outlineLevel="0" max="10" min="5" style="4" width="16.32"/>
    <col collapsed="false" customWidth="true" hidden="false" outlineLevel="0" max="11" min="11" style="1" width="16.32"/>
    <col collapsed="false" customWidth="true" hidden="false" outlineLevel="0" max="27" min="12" style="1" width="8.57"/>
    <col collapsed="false" customWidth="true" hidden="false" outlineLevel="0" max="1023" min="28" style="1" width="9.1"/>
  </cols>
  <sheetData>
    <row r="1" customFormat="false" ht="64.9" hidden="false" customHeight="true" outlineLevel="0" collapsed="false">
      <c r="A1" s="14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0</v>
      </c>
      <c r="J1" s="15" t="s">
        <v>1</v>
      </c>
      <c r="K1" s="15" t="s">
        <v>16</v>
      </c>
    </row>
    <row r="2" customFormat="false" ht="64.9" hidden="false" customHeight="true" outlineLevel="0" collapsed="false">
      <c r="A2" s="16" t="n">
        <v>1</v>
      </c>
      <c r="B2" s="17" t="s">
        <v>17</v>
      </c>
      <c r="C2" s="17"/>
      <c r="D2" s="17" t="s">
        <v>18</v>
      </c>
      <c r="E2" s="17" t="s">
        <v>19</v>
      </c>
      <c r="F2" s="17" t="n">
        <v>10</v>
      </c>
      <c r="G2" s="17" t="n">
        <v>7</v>
      </c>
      <c r="H2" s="17" t="n">
        <f aca="false">F2-G2</f>
        <v>3</v>
      </c>
      <c r="I2" s="18" t="n">
        <f aca="false">(G2/(G2+H2))</f>
        <v>0.7</v>
      </c>
      <c r="J2" s="17" t="s">
        <v>3</v>
      </c>
      <c r="K2" s="4" t="s">
        <v>20</v>
      </c>
    </row>
    <row r="3" customFormat="false" ht="64.9" hidden="false" customHeight="true" outlineLevel="0" collapsed="false">
      <c r="A3" s="16" t="n">
        <v>2</v>
      </c>
      <c r="B3" s="17" t="s">
        <v>17</v>
      </c>
      <c r="C3" s="17" t="s">
        <v>21</v>
      </c>
      <c r="D3" s="4" t="s">
        <v>22</v>
      </c>
      <c r="E3" s="17" t="s">
        <v>19</v>
      </c>
      <c r="F3" s="17" t="n">
        <v>13</v>
      </c>
      <c r="G3" s="17" t="n">
        <v>13</v>
      </c>
      <c r="H3" s="17" t="n">
        <f aca="false">F3-G3</f>
        <v>0</v>
      </c>
      <c r="I3" s="18" t="n">
        <f aca="false">(G3/(G3+H3))</f>
        <v>1</v>
      </c>
      <c r="J3" s="17" t="s">
        <v>3</v>
      </c>
      <c r="K3" s="4" t="s">
        <v>20</v>
      </c>
    </row>
    <row r="4" customFormat="false" ht="64.9" hidden="false" customHeight="true" outlineLevel="0" collapsed="false">
      <c r="A4" s="16" t="n">
        <v>3</v>
      </c>
      <c r="B4" s="17" t="s">
        <v>17</v>
      </c>
      <c r="C4" s="17" t="s">
        <v>23</v>
      </c>
      <c r="D4" s="17" t="s">
        <v>22</v>
      </c>
      <c r="E4" s="17" t="s">
        <v>19</v>
      </c>
      <c r="F4" s="17" t="n">
        <v>13</v>
      </c>
      <c r="G4" s="17" t="n">
        <v>13</v>
      </c>
      <c r="H4" s="17" t="n">
        <f aca="false">F4-G4</f>
        <v>0</v>
      </c>
      <c r="I4" s="18" t="n">
        <f aca="false">(G4/(G4+H4))</f>
        <v>1</v>
      </c>
      <c r="J4" s="17" t="s">
        <v>4</v>
      </c>
      <c r="K4" s="4" t="s">
        <v>20</v>
      </c>
    </row>
    <row r="5" customFormat="false" ht="64.9" hidden="false" customHeight="true" outlineLevel="0" collapsed="false">
      <c r="A5" s="16" t="n">
        <v>4</v>
      </c>
      <c r="B5" s="17" t="s">
        <v>17</v>
      </c>
      <c r="C5" s="17" t="s">
        <v>24</v>
      </c>
      <c r="D5" s="17" t="s">
        <v>25</v>
      </c>
      <c r="E5" s="17" t="s">
        <v>19</v>
      </c>
      <c r="F5" s="17" t="n">
        <v>14</v>
      </c>
      <c r="G5" s="17" t="n">
        <v>13</v>
      </c>
      <c r="H5" s="17" t="n">
        <f aca="false">F5-G5</f>
        <v>1</v>
      </c>
      <c r="I5" s="18" t="n">
        <f aca="false">(G5/(G5+H5))</f>
        <v>0.928571428571429</v>
      </c>
      <c r="J5" s="17" t="s">
        <v>4</v>
      </c>
      <c r="K5" s="4" t="s">
        <v>26</v>
      </c>
    </row>
    <row r="6" customFormat="false" ht="64.9" hidden="false" customHeight="true" outlineLevel="0" collapsed="false">
      <c r="A6" s="16" t="n">
        <v>5</v>
      </c>
      <c r="B6" s="17"/>
      <c r="C6" s="17"/>
      <c r="D6" s="17"/>
      <c r="E6" s="17"/>
      <c r="F6" s="17"/>
      <c r="G6" s="17"/>
      <c r="H6" s="17"/>
      <c r="I6" s="18"/>
      <c r="K6" s="4"/>
    </row>
    <row r="7" customFormat="false" ht="64.9" hidden="false" customHeight="true" outlineLevel="0" collapsed="false">
      <c r="A7" s="16" t="n">
        <v>6</v>
      </c>
      <c r="B7" s="4" t="s">
        <v>27</v>
      </c>
      <c r="C7" s="17" t="s">
        <v>28</v>
      </c>
      <c r="D7" s="17" t="s">
        <v>29</v>
      </c>
      <c r="E7" s="17" t="s">
        <v>30</v>
      </c>
      <c r="F7" s="17" t="n">
        <v>14</v>
      </c>
      <c r="G7" s="17" t="n">
        <v>23</v>
      </c>
      <c r="H7" s="17" t="n">
        <v>0</v>
      </c>
      <c r="I7" s="18" t="n">
        <f aca="false">(G7/(G7+H7))</f>
        <v>1</v>
      </c>
      <c r="J7" s="17" t="s">
        <v>5</v>
      </c>
      <c r="K7" s="4" t="s">
        <v>20</v>
      </c>
    </row>
    <row r="8" customFormat="false" ht="64.9" hidden="false" customHeight="true" outlineLevel="0" collapsed="false">
      <c r="A8" s="16" t="n">
        <v>7</v>
      </c>
      <c r="B8" s="4" t="s">
        <v>27</v>
      </c>
      <c r="C8" s="4" t="s">
        <v>31</v>
      </c>
      <c r="D8" s="4" t="s">
        <v>32</v>
      </c>
      <c r="E8" s="4" t="s">
        <v>30</v>
      </c>
      <c r="F8" s="17" t="n">
        <v>12</v>
      </c>
      <c r="G8" s="17" t="n">
        <v>25</v>
      </c>
      <c r="H8" s="17" t="n">
        <v>0</v>
      </c>
      <c r="I8" s="18" t="n">
        <f aca="false">(G8/(G8+H8))</f>
        <v>1</v>
      </c>
      <c r="J8" s="17" t="s">
        <v>5</v>
      </c>
      <c r="K8" s="4" t="s">
        <v>20</v>
      </c>
    </row>
    <row r="9" customFormat="false" ht="64.9" hidden="false" customHeight="true" outlineLevel="0" collapsed="false">
      <c r="A9" s="4" t="n">
        <v>8</v>
      </c>
      <c r="G9" s="17"/>
      <c r="H9" s="17"/>
      <c r="I9" s="18"/>
      <c r="J9" s="1"/>
      <c r="K9" s="4"/>
    </row>
    <row r="10" customFormat="false" ht="64.9" hidden="false" customHeight="true" outlineLevel="0" collapsed="false">
      <c r="A10" s="4" t="n">
        <v>9</v>
      </c>
      <c r="B10" s="4" t="s">
        <v>33</v>
      </c>
      <c r="C10" s="4" t="s">
        <v>34</v>
      </c>
      <c r="D10" s="4" t="s">
        <v>35</v>
      </c>
      <c r="E10" s="4" t="s">
        <v>30</v>
      </c>
      <c r="F10" s="4" t="n">
        <v>12</v>
      </c>
      <c r="G10" s="4" t="n">
        <v>13</v>
      </c>
      <c r="H10" s="17" t="n">
        <v>0</v>
      </c>
      <c r="I10" s="18" t="n">
        <f aca="false">(G10/(G10+H10))</f>
        <v>1</v>
      </c>
      <c r="J10" s="17" t="s">
        <v>5</v>
      </c>
      <c r="K10" s="4" t="s">
        <v>20</v>
      </c>
    </row>
    <row r="11" customFormat="false" ht="64.9" hidden="false" customHeight="true" outlineLevel="0" collapsed="false">
      <c r="B11" s="4" t="s">
        <v>33</v>
      </c>
      <c r="C11" s="4" t="s">
        <v>36</v>
      </c>
      <c r="D11" s="4" t="s">
        <v>37</v>
      </c>
      <c r="E11" s="4" t="s">
        <v>30</v>
      </c>
      <c r="F11" s="4" t="n">
        <v>14</v>
      </c>
      <c r="G11" s="4" t="n">
        <v>13</v>
      </c>
      <c r="H11" s="17" t="n">
        <f aca="false">F11-G11</f>
        <v>1</v>
      </c>
      <c r="I11" s="18" t="n">
        <f aca="false">(G11/(G11+H11))</f>
        <v>0.928571428571429</v>
      </c>
      <c r="J11" s="4" t="s">
        <v>3</v>
      </c>
      <c r="K11" s="4" t="s">
        <v>20</v>
      </c>
    </row>
    <row r="12" customFormat="false" ht="64.9" hidden="false" customHeight="true" outlineLevel="0" collapsed="false">
      <c r="B12" s="4" t="s">
        <v>33</v>
      </c>
      <c r="C12" s="4" t="s">
        <v>38</v>
      </c>
      <c r="D12" s="4" t="s">
        <v>39</v>
      </c>
      <c r="E12" s="4" t="s">
        <v>30</v>
      </c>
      <c r="F12" s="4" t="n">
        <v>25</v>
      </c>
      <c r="G12" s="4" t="n">
        <v>25</v>
      </c>
      <c r="H12" s="17" t="n">
        <f aca="false">F12-G12</f>
        <v>0</v>
      </c>
      <c r="I12" s="18" t="n">
        <f aca="false">(G12/(G12+H12))</f>
        <v>1</v>
      </c>
      <c r="J12" s="4" t="s">
        <v>4</v>
      </c>
      <c r="K12" s="4" t="s">
        <v>20</v>
      </c>
    </row>
    <row r="13" customFormat="false" ht="64.9" hidden="false" customHeight="true" outlineLevel="0" collapsed="false">
      <c r="B13" s="4" t="s">
        <v>33</v>
      </c>
      <c r="C13" s="4" t="s">
        <v>40</v>
      </c>
      <c r="D13" s="4" t="s">
        <v>41</v>
      </c>
      <c r="E13" s="4" t="s">
        <v>30</v>
      </c>
      <c r="F13" s="4" t="n">
        <v>15</v>
      </c>
      <c r="G13" s="4" t="n">
        <v>16</v>
      </c>
      <c r="H13" s="17" t="n">
        <v>0</v>
      </c>
      <c r="I13" s="18" t="n">
        <f aca="false">(G13/(G13+H13))</f>
        <v>1</v>
      </c>
      <c r="J13" s="4" t="s">
        <v>5</v>
      </c>
      <c r="K13" s="4" t="s">
        <v>20</v>
      </c>
    </row>
    <row r="14" customFormat="false" ht="64.9" hidden="false" customHeight="true" outlineLevel="0" collapsed="false">
      <c r="H14" s="17"/>
      <c r="I14" s="18"/>
      <c r="K14" s="4"/>
    </row>
    <row r="15" customFormat="false" ht="64.9" hidden="false" customHeight="true" outlineLevel="0" collapsed="false">
      <c r="B15" s="4" t="s">
        <v>33</v>
      </c>
      <c r="C15" s="4" t="s">
        <v>42</v>
      </c>
      <c r="D15" s="4" t="s">
        <v>43</v>
      </c>
      <c r="E15" s="4" t="s">
        <v>30</v>
      </c>
      <c r="F15" s="4" t="n">
        <v>25</v>
      </c>
      <c r="G15" s="4" t="n">
        <v>20</v>
      </c>
      <c r="H15" s="17" t="n">
        <f aca="false">F15-G15</f>
        <v>5</v>
      </c>
      <c r="I15" s="18" t="n">
        <f aca="false">(G15/(G15+H15))</f>
        <v>0.8</v>
      </c>
      <c r="J15" s="4" t="s">
        <v>3</v>
      </c>
      <c r="K15" s="4" t="s">
        <v>20</v>
      </c>
    </row>
    <row r="16" customFormat="false" ht="64.9" hidden="false" customHeight="true" outlineLevel="0" collapsed="false">
      <c r="B16" s="4" t="s">
        <v>33</v>
      </c>
      <c r="C16" s="4" t="s">
        <v>44</v>
      </c>
      <c r="D16" s="4" t="s">
        <v>45</v>
      </c>
      <c r="E16" s="4" t="s">
        <v>30</v>
      </c>
      <c r="F16" s="4" t="n">
        <v>22</v>
      </c>
      <c r="G16" s="4" t="n">
        <v>10</v>
      </c>
      <c r="H16" s="17" t="n">
        <f aca="false">F16-G16</f>
        <v>12</v>
      </c>
      <c r="I16" s="18" t="n">
        <f aca="false">(G16/(G16+H16))</f>
        <v>0.454545454545455</v>
      </c>
      <c r="J16" s="4" t="s">
        <v>4</v>
      </c>
      <c r="K16" s="4" t="s">
        <v>20</v>
      </c>
    </row>
    <row r="17" customFormat="false" ht="64.9" hidden="false" customHeight="true" outlineLevel="0" collapsed="false">
      <c r="B17" s="4" t="s">
        <v>33</v>
      </c>
      <c r="C17" s="4" t="s">
        <v>46</v>
      </c>
      <c r="D17" s="4" t="s">
        <v>47</v>
      </c>
      <c r="E17" s="4" t="s">
        <v>30</v>
      </c>
      <c r="F17" s="4" t="n">
        <v>10</v>
      </c>
      <c r="G17" s="4" t="n">
        <v>21</v>
      </c>
      <c r="H17" s="17" t="n">
        <v>0</v>
      </c>
      <c r="I17" s="18" t="n">
        <f aca="false">(G17/(G17+H17))</f>
        <v>1</v>
      </c>
      <c r="J17" s="4" t="s">
        <v>5</v>
      </c>
      <c r="K17" s="4" t="s">
        <v>20</v>
      </c>
    </row>
    <row r="18" customFormat="false" ht="64.9" hidden="false" customHeight="true" outlineLevel="0" collapsed="false">
      <c r="B18" s="4" t="s">
        <v>33</v>
      </c>
      <c r="C18" s="4" t="s">
        <v>48</v>
      </c>
      <c r="D18" s="4" t="s">
        <v>49</v>
      </c>
      <c r="E18" s="4" t="s">
        <v>30</v>
      </c>
      <c r="F18" s="4" t="n">
        <v>11</v>
      </c>
      <c r="G18" s="4" t="n">
        <v>12</v>
      </c>
      <c r="H18" s="17" t="n">
        <v>0</v>
      </c>
      <c r="I18" s="18" t="n">
        <f aca="false">(G18/(G18+H18))</f>
        <v>1</v>
      </c>
      <c r="J18" s="4" t="s">
        <v>3</v>
      </c>
      <c r="K18" s="4" t="s">
        <v>20</v>
      </c>
    </row>
    <row r="19" customFormat="false" ht="64.9" hidden="false" customHeight="true" outlineLevel="0" collapsed="false">
      <c r="B19" s="4" t="s">
        <v>33</v>
      </c>
      <c r="C19" s="4" t="s">
        <v>50</v>
      </c>
      <c r="D19" s="4" t="s">
        <v>51</v>
      </c>
      <c r="E19" s="4" t="s">
        <v>30</v>
      </c>
      <c r="F19" s="4" t="n">
        <v>10</v>
      </c>
      <c r="G19" s="4" t="n">
        <v>10</v>
      </c>
      <c r="H19" s="17" t="n">
        <f aca="false">F19-G19</f>
        <v>0</v>
      </c>
      <c r="I19" s="18" t="n">
        <f aca="false">(G19/(G19+H19))</f>
        <v>1</v>
      </c>
      <c r="J19" s="4" t="s">
        <v>4</v>
      </c>
      <c r="K19" s="4" t="s">
        <v>20</v>
      </c>
    </row>
    <row r="20" customFormat="false" ht="64.9" hidden="false" customHeight="true" outlineLevel="0" collapsed="false">
      <c r="H20" s="17"/>
      <c r="I20" s="18"/>
      <c r="K20" s="4"/>
    </row>
    <row r="21" customFormat="false" ht="64.9" hidden="false" customHeight="true" outlineLevel="0" collapsed="false">
      <c r="B21" s="4" t="s">
        <v>52</v>
      </c>
      <c r="C21" s="4" t="s">
        <v>53</v>
      </c>
      <c r="D21" s="4" t="s">
        <v>54</v>
      </c>
      <c r="E21" s="4" t="s">
        <v>19</v>
      </c>
      <c r="F21" s="4" t="n">
        <v>12</v>
      </c>
      <c r="G21" s="4" t="n">
        <v>10</v>
      </c>
      <c r="H21" s="17" t="n">
        <f aca="false">F21-G21</f>
        <v>2</v>
      </c>
      <c r="I21" s="18" t="n">
        <f aca="false">(G21/(G21+H21))</f>
        <v>0.833333333333333</v>
      </c>
      <c r="J21" s="4" t="s">
        <v>3</v>
      </c>
      <c r="K21" s="4" t="s">
        <v>20</v>
      </c>
    </row>
    <row r="22" customFormat="false" ht="64.9" hidden="false" customHeight="true" outlineLevel="0" collapsed="false">
      <c r="B22" s="4" t="s">
        <v>52</v>
      </c>
      <c r="C22" s="4" t="s">
        <v>55</v>
      </c>
      <c r="D22" s="4" t="s">
        <v>56</v>
      </c>
      <c r="E22" s="4" t="s">
        <v>19</v>
      </c>
      <c r="F22" s="4" t="n">
        <v>17</v>
      </c>
      <c r="G22" s="4" t="n">
        <v>16</v>
      </c>
      <c r="H22" s="17" t="n">
        <f aca="false">F22-G22</f>
        <v>1</v>
      </c>
      <c r="I22" s="18" t="n">
        <f aca="false">(G22/(G22+H22))</f>
        <v>0.941176470588235</v>
      </c>
      <c r="J22" s="4" t="s">
        <v>5</v>
      </c>
      <c r="K22" s="4" t="s">
        <v>20</v>
      </c>
    </row>
    <row r="23" customFormat="false" ht="64.9" hidden="false" customHeight="true" outlineLevel="0" collapsed="false">
      <c r="B23" s="4" t="s">
        <v>52</v>
      </c>
      <c r="C23" s="4" t="s">
        <v>57</v>
      </c>
      <c r="D23" s="4" t="s">
        <v>58</v>
      </c>
      <c r="E23" s="4" t="s">
        <v>19</v>
      </c>
      <c r="F23" s="4" t="n">
        <v>32</v>
      </c>
      <c r="G23" s="4" t="n">
        <v>29</v>
      </c>
      <c r="H23" s="17" t="n">
        <f aca="false">F23-G23</f>
        <v>3</v>
      </c>
      <c r="I23" s="18" t="n">
        <f aca="false">(G23/(G23+H23))</f>
        <v>0.90625</v>
      </c>
      <c r="J23" s="4" t="s">
        <v>5</v>
      </c>
      <c r="K23" s="4" t="s">
        <v>20</v>
      </c>
    </row>
    <row r="24" customFormat="false" ht="64.9" hidden="false" customHeight="true" outlineLevel="0" collapsed="false">
      <c r="B24" s="4" t="s">
        <v>52</v>
      </c>
      <c r="C24" s="4" t="s">
        <v>59</v>
      </c>
      <c r="D24" s="4" t="s">
        <v>60</v>
      </c>
      <c r="E24" s="4" t="s">
        <v>19</v>
      </c>
      <c r="F24" s="4" t="n">
        <v>21</v>
      </c>
      <c r="G24" s="4" t="n">
        <v>21</v>
      </c>
      <c r="H24" s="17" t="n">
        <f aca="false">F24-G24</f>
        <v>0</v>
      </c>
      <c r="I24" s="18" t="n">
        <f aca="false">(G24/(G24+H24))</f>
        <v>1</v>
      </c>
      <c r="J24" s="4" t="s">
        <v>4</v>
      </c>
      <c r="K24" s="4" t="s">
        <v>20</v>
      </c>
    </row>
    <row r="25" customFormat="false" ht="64.9" hidden="false" customHeight="true" outlineLevel="0" collapsed="false">
      <c r="B25" s="4" t="s">
        <v>52</v>
      </c>
      <c r="C25" s="4" t="s">
        <v>61</v>
      </c>
      <c r="D25" s="4" t="s">
        <v>62</v>
      </c>
      <c r="E25" s="4" t="s">
        <v>19</v>
      </c>
      <c r="F25" s="4" t="n">
        <v>30</v>
      </c>
      <c r="G25" s="4" t="n">
        <v>32</v>
      </c>
      <c r="H25" s="17" t="n">
        <v>0</v>
      </c>
      <c r="I25" s="18" t="n">
        <f aca="false">(G25/(G25+H25))</f>
        <v>1</v>
      </c>
      <c r="J25" s="4" t="s">
        <v>3</v>
      </c>
      <c r="K25" s="4" t="s">
        <v>20</v>
      </c>
    </row>
    <row r="26" customFormat="false" ht="64.9" hidden="false" customHeight="true" outlineLevel="0" collapsed="false">
      <c r="B26" s="4" t="s">
        <v>52</v>
      </c>
      <c r="C26" s="4" t="s">
        <v>63</v>
      </c>
      <c r="D26" s="4" t="s">
        <v>64</v>
      </c>
      <c r="E26" s="4" t="s">
        <v>19</v>
      </c>
      <c r="F26" s="4" t="n">
        <v>15</v>
      </c>
      <c r="G26" s="4" t="n">
        <v>15</v>
      </c>
      <c r="H26" s="17" t="n">
        <f aca="false">F26-G26</f>
        <v>0</v>
      </c>
      <c r="I26" s="18" t="n">
        <f aca="false">(G26/(G26+H26))</f>
        <v>1</v>
      </c>
      <c r="J26" s="4" t="s">
        <v>4</v>
      </c>
      <c r="K26" s="4" t="s">
        <v>20</v>
      </c>
    </row>
    <row r="27" customFormat="false" ht="64.9" hidden="false" customHeight="true" outlineLevel="0" collapsed="false">
      <c r="B27" s="4" t="s">
        <v>52</v>
      </c>
      <c r="C27" s="4" t="s">
        <v>65</v>
      </c>
      <c r="D27" s="4" t="s">
        <v>66</v>
      </c>
      <c r="E27" s="4" t="s">
        <v>19</v>
      </c>
      <c r="F27" s="4" t="n">
        <v>12</v>
      </c>
      <c r="G27" s="4" t="n">
        <v>10</v>
      </c>
      <c r="H27" s="17" t="n">
        <f aca="false">F27-G27</f>
        <v>2</v>
      </c>
      <c r="I27" s="18" t="n">
        <f aca="false">(G27/(G27+H27))</f>
        <v>0.833333333333333</v>
      </c>
      <c r="J27" s="4" t="s">
        <v>5</v>
      </c>
      <c r="K27" s="4" t="s">
        <v>20</v>
      </c>
    </row>
    <row r="28" customFormat="false" ht="64.9" hidden="false" customHeight="true" outlineLevel="0" collapsed="false">
      <c r="B28" s="4" t="s">
        <v>52</v>
      </c>
      <c r="C28" s="4" t="s">
        <v>67</v>
      </c>
      <c r="D28" s="4" t="s">
        <v>68</v>
      </c>
      <c r="E28" s="4" t="s">
        <v>19</v>
      </c>
      <c r="F28" s="4" t="n">
        <v>13</v>
      </c>
      <c r="G28" s="4" t="n">
        <v>12</v>
      </c>
      <c r="H28" s="17" t="n">
        <f aca="false">F28-G28</f>
        <v>1</v>
      </c>
      <c r="I28" s="18" t="n">
        <f aca="false">(G28/(G28+H28))</f>
        <v>0.923076923076923</v>
      </c>
      <c r="J28" s="4" t="s">
        <v>3</v>
      </c>
      <c r="K28" s="4" t="s">
        <v>20</v>
      </c>
    </row>
    <row r="29" customFormat="false" ht="64.9" hidden="false" customHeight="true" outlineLevel="0" collapsed="false">
      <c r="B29" s="4" t="s">
        <v>52</v>
      </c>
      <c r="C29" s="4" t="s">
        <v>69</v>
      </c>
      <c r="D29" s="4" t="s">
        <v>70</v>
      </c>
      <c r="E29" s="4" t="s">
        <v>19</v>
      </c>
      <c r="F29" s="4" t="n">
        <v>15</v>
      </c>
      <c r="G29" s="4" t="n">
        <v>11</v>
      </c>
      <c r="H29" s="17" t="n">
        <f aca="false">F29-G29</f>
        <v>4</v>
      </c>
      <c r="I29" s="18" t="n">
        <f aca="false">(G29/(G29+H29))</f>
        <v>0.733333333333333</v>
      </c>
      <c r="J29" s="4" t="s">
        <v>4</v>
      </c>
      <c r="K29" s="4" t="s">
        <v>20</v>
      </c>
    </row>
    <row r="30" customFormat="false" ht="64.9" hidden="false" customHeight="true" outlineLevel="0" collapsed="false">
      <c r="B30" s="4" t="s">
        <v>52</v>
      </c>
      <c r="C30" s="4" t="s">
        <v>71</v>
      </c>
      <c r="D30" s="4" t="s">
        <v>72</v>
      </c>
      <c r="E30" s="4" t="s">
        <v>19</v>
      </c>
      <c r="F30" s="4" t="n">
        <v>20</v>
      </c>
      <c r="G30" s="4" t="n">
        <v>17</v>
      </c>
      <c r="H30" s="17" t="n">
        <f aca="false">F30-G30</f>
        <v>3</v>
      </c>
      <c r="I30" s="18" t="n">
        <f aca="false">(G30/(G30+H30))</f>
        <v>0.85</v>
      </c>
      <c r="J30" s="4" t="s">
        <v>5</v>
      </c>
      <c r="K30" s="4" t="s">
        <v>20</v>
      </c>
    </row>
    <row r="31" customFormat="false" ht="64.9" hidden="false" customHeight="true" outlineLevel="0" collapsed="false">
      <c r="B31" s="4" t="s">
        <v>52</v>
      </c>
      <c r="C31" s="4" t="s">
        <v>73</v>
      </c>
      <c r="D31" s="4" t="s">
        <v>74</v>
      </c>
      <c r="E31" s="4" t="s">
        <v>19</v>
      </c>
      <c r="F31" s="4" t="n">
        <v>25</v>
      </c>
      <c r="G31" s="4" t="n">
        <v>24</v>
      </c>
      <c r="H31" s="17" t="n">
        <f aca="false">F31-G31</f>
        <v>1</v>
      </c>
      <c r="I31" s="18" t="n">
        <f aca="false">(G31/(G31+H31))</f>
        <v>0.96</v>
      </c>
      <c r="J31" s="4" t="s">
        <v>3</v>
      </c>
      <c r="K31" s="4" t="s">
        <v>20</v>
      </c>
    </row>
    <row r="32" customFormat="false" ht="64.9" hidden="false" customHeight="true" outlineLevel="0" collapsed="false">
      <c r="B32" s="4" t="s">
        <v>52</v>
      </c>
      <c r="C32" s="4" t="s">
        <v>75</v>
      </c>
      <c r="D32" s="4" t="s">
        <v>76</v>
      </c>
      <c r="E32" s="4" t="s">
        <v>19</v>
      </c>
      <c r="F32" s="4" t="n">
        <v>15</v>
      </c>
      <c r="G32" s="4" t="n">
        <v>17</v>
      </c>
      <c r="H32" s="17" t="n">
        <v>0</v>
      </c>
      <c r="I32" s="18" t="n">
        <f aca="false">(G32/(G32+H32))</f>
        <v>1</v>
      </c>
      <c r="J32" s="4" t="s">
        <v>4</v>
      </c>
      <c r="K32" s="4" t="s">
        <v>20</v>
      </c>
    </row>
    <row r="33" customFormat="false" ht="64.9" hidden="false" customHeight="true" outlineLevel="0" collapsed="false">
      <c r="H33" s="17"/>
      <c r="I33" s="18"/>
      <c r="K33" s="4"/>
    </row>
    <row r="34" customFormat="false" ht="64.9" hidden="false" customHeight="true" outlineLevel="0" collapsed="false">
      <c r="B34" s="4" t="s">
        <v>77</v>
      </c>
      <c r="C34" s="4" t="s">
        <v>78</v>
      </c>
      <c r="D34" s="4" t="s">
        <v>79</v>
      </c>
      <c r="E34" s="4" t="s">
        <v>30</v>
      </c>
      <c r="F34" s="4" t="n">
        <v>10</v>
      </c>
      <c r="G34" s="4" t="n">
        <v>9</v>
      </c>
      <c r="H34" s="17" t="n">
        <f aca="false">F34-G34</f>
        <v>1</v>
      </c>
      <c r="I34" s="18" t="n">
        <f aca="false">(G34/(G34+H34))</f>
        <v>0.9</v>
      </c>
      <c r="J34" s="4" t="s">
        <v>5</v>
      </c>
      <c r="K34" s="4" t="s">
        <v>20</v>
      </c>
    </row>
    <row r="35" customFormat="false" ht="64.9" hidden="false" customHeight="true" outlineLevel="0" collapsed="false">
      <c r="B35" s="4" t="s">
        <v>77</v>
      </c>
      <c r="C35" s="4" t="s">
        <v>80</v>
      </c>
      <c r="D35" s="4" t="s">
        <v>81</v>
      </c>
      <c r="E35" s="4" t="s">
        <v>19</v>
      </c>
      <c r="F35" s="4" t="n">
        <v>9</v>
      </c>
      <c r="G35" s="4" t="n">
        <v>5</v>
      </c>
      <c r="H35" s="17" t="n">
        <f aca="false">F35-G35</f>
        <v>4</v>
      </c>
      <c r="I35" s="18" t="n">
        <f aca="false">(G35/(G35+H35))</f>
        <v>0.555555555555556</v>
      </c>
      <c r="J35" s="4" t="s">
        <v>3</v>
      </c>
      <c r="K35" s="4" t="s">
        <v>20</v>
      </c>
    </row>
    <row r="36" customFormat="false" ht="64.9" hidden="false" customHeight="true" outlineLevel="0" collapsed="false">
      <c r="B36" s="4" t="s">
        <v>77</v>
      </c>
      <c r="C36" s="4" t="s">
        <v>82</v>
      </c>
      <c r="D36" s="4" t="s">
        <v>83</v>
      </c>
      <c r="E36" s="4" t="s">
        <v>30</v>
      </c>
      <c r="F36" s="4" t="n">
        <v>5</v>
      </c>
      <c r="G36" s="4" t="n">
        <v>4</v>
      </c>
      <c r="H36" s="17" t="n">
        <f aca="false">F36-G36</f>
        <v>1</v>
      </c>
      <c r="I36" s="18" t="n">
        <f aca="false">(G36/(G36+H36))</f>
        <v>0.8</v>
      </c>
      <c r="J36" s="4" t="s">
        <v>4</v>
      </c>
      <c r="K36" s="4" t="s">
        <v>26</v>
      </c>
    </row>
    <row r="37" customFormat="false" ht="64.9" hidden="false" customHeight="true" outlineLevel="0" collapsed="false">
      <c r="K37" s="4"/>
    </row>
    <row r="38" customFormat="false" ht="64.9" hidden="false" customHeight="true" outlineLevel="0" collapsed="false">
      <c r="K38" s="4"/>
    </row>
    <row r="39" customFormat="false" ht="64.9" hidden="false" customHeight="true" outlineLevel="0" collapsed="false">
      <c r="K39" s="4"/>
    </row>
    <row r="40" customFormat="false" ht="64.9" hidden="false" customHeight="true" outlineLevel="0" collapsed="false">
      <c r="K40" s="4"/>
    </row>
    <row r="41" customFormat="false" ht="64.9" hidden="false" customHeight="true" outlineLevel="0" collapsed="false">
      <c r="K41" s="4"/>
    </row>
    <row r="42" customFormat="false" ht="64.9" hidden="false" customHeight="true" outlineLevel="0" collapsed="false">
      <c r="K42" s="4"/>
    </row>
    <row r="43" customFormat="false" ht="64.9" hidden="false" customHeight="true" outlineLevel="0" collapsed="false">
      <c r="K43" s="4"/>
    </row>
    <row r="44" customFormat="false" ht="64.9" hidden="false" customHeight="true" outlineLevel="0" collapsed="false">
      <c r="K44" s="4"/>
    </row>
    <row r="45" customFormat="false" ht="64.9" hidden="false" customHeight="true" outlineLevel="0" collapsed="false">
      <c r="K45" s="4"/>
    </row>
    <row r="46" customFormat="false" ht="64.9" hidden="false" customHeight="true" outlineLevel="0" collapsed="false">
      <c r="K46" s="4"/>
    </row>
    <row r="47" customFormat="false" ht="64.9" hidden="false" customHeight="true" outlineLevel="0" collapsed="false">
      <c r="K47" s="4"/>
    </row>
    <row r="48" customFormat="false" ht="64.9" hidden="false" customHeight="true" outlineLevel="0" collapsed="false">
      <c r="K48" s="4"/>
    </row>
    <row r="49" customFormat="false" ht="64.9" hidden="false" customHeight="true" outlineLevel="0" collapsed="false">
      <c r="K49" s="4"/>
    </row>
    <row r="50" customFormat="false" ht="64.9" hidden="false" customHeight="true" outlineLevel="0" collapsed="false">
      <c r="K50" s="4"/>
    </row>
    <row r="51" customFormat="false" ht="64.9" hidden="false" customHeight="true" outlineLevel="0" collapsed="false">
      <c r="K51" s="4"/>
    </row>
    <row r="52" customFormat="false" ht="64.9" hidden="false" customHeight="true" outlineLevel="0" collapsed="false">
      <c r="K52" s="4"/>
    </row>
    <row r="53" customFormat="false" ht="64.9" hidden="false" customHeight="true" outlineLevel="0" collapsed="false">
      <c r="K53" s="4"/>
    </row>
    <row r="54" customFormat="false" ht="66.4" hidden="false" customHeight="true" outlineLevel="0" collapsed="false"/>
    <row r="55" customFormat="false" ht="66.4" hidden="false" customHeight="true" outlineLevel="0" collapsed="false"/>
    <row r="56" customFormat="false" ht="66.4" hidden="false" customHeight="true" outlineLevel="0" collapsed="false"/>
    <row r="57" customFormat="false" ht="66.4" hidden="false" customHeight="true" outlineLevel="0" collapsed="false"/>
    <row r="58" customFormat="false" ht="66.4" hidden="false" customHeight="true" outlineLevel="0" collapsed="false"/>
    <row r="59" customFormat="false" ht="66.4" hidden="false" customHeight="true" outlineLevel="0" collapsed="false"/>
    <row r="60" customFormat="false" ht="66.4" hidden="false" customHeight="true" outlineLevel="0" collapsed="false"/>
    <row r="61" customFormat="false" ht="66.4" hidden="false" customHeight="true" outlineLevel="0" collapsed="false"/>
    <row r="62" customFormat="false" ht="66.4" hidden="false" customHeight="true" outlineLevel="0" collapsed="false"/>
    <row r="63" customFormat="false" ht="66.4" hidden="false" customHeight="true" outlineLevel="0" collapsed="false"/>
    <row r="64" customFormat="false" ht="66.4" hidden="false" customHeight="true" outlineLevel="0" collapsed="false"/>
    <row r="65" customFormat="false" ht="66.4" hidden="false" customHeight="true" outlineLevel="0" collapsed="false"/>
    <row r="66" customFormat="false" ht="66.4" hidden="false" customHeight="true" outlineLevel="0" collapsed="false"/>
    <row r="67" customFormat="false" ht="66.4" hidden="false" customHeight="true" outlineLevel="0" collapsed="false"/>
    <row r="68" customFormat="false" ht="66.4" hidden="false" customHeight="true" outlineLevel="0" collapsed="false"/>
    <row r="69" customFormat="false" ht="66.4" hidden="false" customHeight="true" outlineLevel="0" collapsed="false"/>
    <row r="70" customFormat="false" ht="66.4" hidden="false" customHeight="true" outlineLevel="0" collapsed="false"/>
    <row r="71" customFormat="false" ht="66.4" hidden="false" customHeight="true" outlineLevel="0" collapsed="false"/>
    <row r="72" customFormat="false" ht="66.4" hidden="false" customHeight="true" outlineLevel="0" collapsed="false"/>
    <row r="73" customFormat="false" ht="66.4" hidden="false" customHeight="true" outlineLevel="0" collapsed="false"/>
    <row r="74" customFormat="false" ht="66.4" hidden="false" customHeight="true" outlineLevel="0" collapsed="false"/>
    <row r="75" customFormat="false" ht="66.4" hidden="false" customHeight="true" outlineLevel="0" collapsed="false"/>
    <row r="76" customFormat="false" ht="66.4" hidden="false" customHeight="true" outlineLevel="0" collapsed="false"/>
    <row r="77" customFormat="false" ht="66.4" hidden="false" customHeight="true" outlineLevel="0" collapsed="false"/>
    <row r="78" customFormat="false" ht="66.4" hidden="false" customHeight="true" outlineLevel="0" collapsed="false"/>
    <row r="79" customFormat="false" ht="66.4" hidden="false" customHeight="true" outlineLevel="0" collapsed="false"/>
    <row r="80" customFormat="false" ht="66.4" hidden="false" customHeight="true" outlineLevel="0" collapsed="false"/>
    <row r="81" customFormat="false" ht="66.4" hidden="false" customHeight="true" outlineLevel="0" collapsed="false"/>
    <row r="82" customFormat="false" ht="66.4" hidden="false" customHeight="true" outlineLevel="0" collapsed="false"/>
    <row r="83" customFormat="false" ht="66.4" hidden="false" customHeight="true" outlineLevel="0" collapsed="false"/>
    <row r="84" customFormat="false" ht="66.4" hidden="false" customHeight="true" outlineLevel="0" collapsed="false"/>
    <row r="85" customFormat="false" ht="66.4" hidden="false" customHeight="true" outlineLevel="0" collapsed="false"/>
    <row r="86" customFormat="false" ht="66.4" hidden="false" customHeight="true" outlineLevel="0" collapsed="false"/>
    <row r="87" customFormat="false" ht="66.4" hidden="false" customHeight="true" outlineLevel="0" collapsed="false"/>
    <row r="88" customFormat="false" ht="66.4" hidden="false" customHeight="true" outlineLevel="0" collapsed="false"/>
    <row r="89" customFormat="false" ht="66.4" hidden="false" customHeight="true" outlineLevel="0" collapsed="false"/>
    <row r="90" customFormat="false" ht="66.4" hidden="false" customHeight="true" outlineLevel="0" collapsed="false"/>
    <row r="91" customFormat="false" ht="66.4" hidden="false" customHeight="true" outlineLevel="0" collapsed="false"/>
    <row r="92" customFormat="false" ht="66.4" hidden="false" customHeight="true" outlineLevel="0" collapsed="false"/>
    <row r="93" customFormat="false" ht="66.4" hidden="false" customHeight="true" outlineLevel="0" collapsed="false"/>
    <row r="94" customFormat="false" ht="66.4" hidden="false" customHeight="true" outlineLevel="0" collapsed="false"/>
    <row r="95" customFormat="false" ht="66.4" hidden="false" customHeight="true" outlineLevel="0" collapsed="false"/>
    <row r="96" customFormat="false" ht="66.4" hidden="false" customHeight="true" outlineLevel="0" collapsed="false"/>
    <row r="97" customFormat="false" ht="66.4" hidden="false" customHeight="true" outlineLevel="0" collapsed="false"/>
    <row r="98" customFormat="false" ht="66.4" hidden="false" customHeight="true" outlineLevel="0" collapsed="false"/>
    <row r="99" customFormat="false" ht="66.4" hidden="false" customHeight="true" outlineLevel="0" collapsed="false"/>
    <row r="100" customFormat="false" ht="66.4" hidden="false" customHeight="true" outlineLevel="0" collapsed="false"/>
    <row r="101" customFormat="false" ht="66.4" hidden="false" customHeight="true" outlineLevel="0" collapsed="false"/>
    <row r="102" customFormat="false" ht="66.4" hidden="false" customHeight="true" outlineLevel="0" collapsed="false"/>
    <row r="103" customFormat="false" ht="66.4" hidden="false" customHeight="true" outlineLevel="0" collapsed="false"/>
    <row r="104" customFormat="false" ht="66.4" hidden="false" customHeight="true" outlineLevel="0" collapsed="false"/>
    <row r="105" customFormat="false" ht="66.4" hidden="false" customHeight="true" outlineLevel="0" collapsed="false"/>
    <row r="106" customFormat="false" ht="66.4" hidden="false" customHeight="true" outlineLevel="0" collapsed="false"/>
    <row r="107" customFormat="false" ht="66.4" hidden="false" customHeight="true" outlineLevel="0" collapsed="false"/>
    <row r="108" customFormat="false" ht="66.4" hidden="false" customHeight="true" outlineLevel="0" collapsed="false"/>
    <row r="109" customFormat="false" ht="66.4" hidden="false" customHeight="true" outlineLevel="0" collapsed="false"/>
    <row r="110" customFormat="false" ht="66.4" hidden="false" customHeight="true" outlineLevel="0" collapsed="false"/>
    <row r="111" customFormat="false" ht="66.4" hidden="false" customHeight="true" outlineLevel="0" collapsed="false"/>
    <row r="112" customFormat="false" ht="66.4" hidden="false" customHeight="true" outlineLevel="0" collapsed="false"/>
    <row r="113" customFormat="false" ht="66.4" hidden="false" customHeight="true" outlineLevel="0" collapsed="false"/>
    <row r="114" customFormat="false" ht="66.4" hidden="false" customHeight="true" outlineLevel="0" collapsed="false"/>
    <row r="115" customFormat="false" ht="66.4" hidden="false" customHeight="true" outlineLevel="0" collapsed="false"/>
    <row r="116" customFormat="false" ht="66.4" hidden="false" customHeight="true" outlineLevel="0" collapsed="false"/>
    <row r="117" customFormat="false" ht="66.4" hidden="false" customHeight="true" outlineLevel="0" collapsed="false"/>
    <row r="118" customFormat="false" ht="66.4" hidden="false" customHeight="true" outlineLevel="0" collapsed="false"/>
    <row r="119" customFormat="false" ht="66.4" hidden="false" customHeight="true" outlineLevel="0" collapsed="false"/>
    <row r="120" customFormat="false" ht="66.4" hidden="false" customHeight="true" outlineLevel="0" collapsed="false"/>
    <row r="121" customFormat="false" ht="66.4" hidden="false" customHeight="true" outlineLevel="0" collapsed="false"/>
    <row r="122" customFormat="false" ht="66.4" hidden="false" customHeight="true" outlineLevel="0" collapsed="false"/>
    <row r="123" customFormat="false" ht="66.4" hidden="false" customHeight="true" outlineLevel="0" collapsed="false"/>
    <row r="124" customFormat="false" ht="66.4" hidden="false" customHeight="true" outlineLevel="0" collapsed="false"/>
    <row r="125" customFormat="false" ht="66.4" hidden="false" customHeight="true" outlineLevel="0" collapsed="false"/>
    <row r="126" customFormat="false" ht="66.4" hidden="false" customHeight="true" outlineLevel="0" collapsed="false"/>
    <row r="127" customFormat="false" ht="66.4" hidden="false" customHeight="true" outlineLevel="0" collapsed="false"/>
    <row r="128" customFormat="false" ht="66.4" hidden="false" customHeight="true" outlineLevel="0" collapsed="false"/>
    <row r="129" customFormat="false" ht="66.4" hidden="false" customHeight="true" outlineLevel="0" collapsed="false"/>
    <row r="130" customFormat="false" ht="66.4" hidden="false" customHeight="true" outlineLevel="0" collapsed="false"/>
    <row r="131" customFormat="false" ht="66.4" hidden="false" customHeight="true" outlineLevel="0" collapsed="false"/>
    <row r="132" customFormat="false" ht="66.4" hidden="false" customHeight="true" outlineLevel="0" collapsed="false"/>
    <row r="133" customFormat="false" ht="66.4" hidden="false" customHeight="true" outlineLevel="0" collapsed="false"/>
    <row r="134" customFormat="false" ht="66.4" hidden="false" customHeight="true" outlineLevel="0" collapsed="false"/>
    <row r="135" customFormat="false" ht="66.4" hidden="false" customHeight="true" outlineLevel="0" collapsed="false"/>
    <row r="136" customFormat="false" ht="66.4" hidden="false" customHeight="true" outlineLevel="0" collapsed="false"/>
    <row r="137" customFormat="false" ht="66.4" hidden="false" customHeight="true" outlineLevel="0" collapsed="false"/>
    <row r="138" customFormat="false" ht="66.4" hidden="false" customHeight="true" outlineLevel="0" collapsed="false"/>
    <row r="139" customFormat="false" ht="66.4" hidden="false" customHeight="true" outlineLevel="0" collapsed="false"/>
    <row r="140" customFormat="false" ht="66.4" hidden="false" customHeight="true" outlineLevel="0" collapsed="false"/>
    <row r="141" customFormat="false" ht="66.4" hidden="false" customHeight="true" outlineLevel="0" collapsed="false"/>
    <row r="142" customFormat="false" ht="66.4" hidden="false" customHeight="true" outlineLevel="0" collapsed="false"/>
    <row r="143" customFormat="false" ht="66.4" hidden="false" customHeight="true" outlineLevel="0" collapsed="false"/>
    <row r="144" customFormat="false" ht="66.4" hidden="false" customHeight="true" outlineLevel="0" collapsed="false"/>
    <row r="145" customFormat="false" ht="66.4" hidden="false" customHeight="true" outlineLevel="0" collapsed="false"/>
    <row r="146" customFormat="false" ht="66.4" hidden="false" customHeight="true" outlineLevel="0" collapsed="false"/>
    <row r="147" customFormat="false" ht="66.4" hidden="false" customHeight="true" outlineLevel="0" collapsed="false"/>
    <row r="148" customFormat="false" ht="66.4" hidden="false" customHeight="true" outlineLevel="0" collapsed="false"/>
    <row r="149" customFormat="false" ht="66.4" hidden="false" customHeight="true" outlineLevel="0" collapsed="false"/>
    <row r="150" customFormat="false" ht="66.4" hidden="false" customHeight="true" outlineLevel="0" collapsed="false"/>
    <row r="151" customFormat="false" ht="66.4" hidden="false" customHeight="true" outlineLevel="0" collapsed="false"/>
    <row r="152" customFormat="false" ht="66.4" hidden="false" customHeight="true" outlineLevel="0" collapsed="false"/>
    <row r="153" customFormat="false" ht="66.4" hidden="false" customHeight="true" outlineLevel="0" collapsed="false"/>
    <row r="154" customFormat="false" ht="66.4" hidden="false" customHeight="true" outlineLevel="0" collapsed="false"/>
    <row r="155" customFormat="false" ht="66.4" hidden="false" customHeight="true" outlineLevel="0" collapsed="false"/>
    <row r="156" customFormat="false" ht="66.4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3" activeCellId="0" sqref="E3"/>
    </sheetView>
  </sheetViews>
  <sheetFormatPr defaultColWidth="9.34375" defaultRowHeight="15" zeroHeight="false" outlineLevelRow="0" outlineLevelCol="0"/>
  <cols>
    <col collapsed="false" customWidth="true" hidden="false" outlineLevel="0" max="1" min="1" style="1" width="20.64"/>
    <col collapsed="false" customWidth="true" hidden="false" outlineLevel="0" max="2" min="2" style="1" width="20.91"/>
    <col collapsed="false" customWidth="true" hidden="false" outlineLevel="0" max="3" min="3" style="1" width="24.97"/>
    <col collapsed="false" customWidth="true" hidden="false" outlineLevel="0" max="4" min="4" style="1" width="10.09"/>
    <col collapsed="false" customWidth="true" hidden="false" outlineLevel="0" max="5" min="5" style="1" width="18.2"/>
    <col collapsed="false" customWidth="true" hidden="false" outlineLevel="0" max="26" min="6" style="1" width="8.57"/>
    <col collapsed="false" customWidth="true" hidden="false" outlineLevel="0" max="1024" min="27" style="1" width="9.1"/>
  </cols>
  <sheetData>
    <row r="1" customFormat="false" ht="15.75" hidden="false" customHeight="true" outlineLevel="0" collapsed="false">
      <c r="A1" s="19" t="s">
        <v>84</v>
      </c>
      <c r="B1" s="19" t="s">
        <v>85</v>
      </c>
      <c r="C1" s="19" t="s">
        <v>86</v>
      </c>
      <c r="D1" s="19" t="s">
        <v>87</v>
      </c>
      <c r="E1" s="19" t="s">
        <v>88</v>
      </c>
    </row>
    <row r="2" customFormat="false" ht="15.75" hidden="false" customHeight="true" outlineLevel="0" collapsed="false">
      <c r="A2" s="20" t="n">
        <f aca="false">SUM('liste des taches'!F2:F329)</f>
        <v>471</v>
      </c>
      <c r="B2" s="20" t="n">
        <f aca="false">SUM('liste des taches'!G2:G329)</f>
        <v>466</v>
      </c>
      <c r="C2" s="20" t="n">
        <f aca="false">SUM('liste des taches'!H2:H329)</f>
        <v>45</v>
      </c>
      <c r="D2" s="21" t="n">
        <f aca="false">(B2/(B2+C2))</f>
        <v>0.911937377690802</v>
      </c>
      <c r="E2" s="22" t="n">
        <f aca="false">((B2+C2)-A2)/A2</f>
        <v>0.0849256900212314</v>
      </c>
    </row>
    <row r="3" customFormat="false" ht="15.75" hidden="false" customHeight="true" outlineLevel="0" collapsed="false">
      <c r="C3" s="20" t="n">
        <f aca="false">C2/60</f>
        <v>0.75</v>
      </c>
      <c r="D3" s="20" t="s">
        <v>89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34375" defaultRowHeight="15" zeroHeight="false" outlineLevelRow="0" outlineLevelCol="0"/>
  <cols>
    <col collapsed="false" customWidth="true" hidden="false" outlineLevel="0" max="28" min="1" style="1" width="8.57"/>
    <col collapsed="false" customWidth="true" hidden="false" outlineLevel="0" max="1024" min="29" style="1" width="9.1"/>
  </cols>
  <sheetData>
    <row r="1" customFormat="false" ht="15.75" hidden="false" customHeight="true" outlineLevel="0" collapsed="false">
      <c r="A1" s="23" t="s">
        <v>8</v>
      </c>
      <c r="B1" s="2" t="s">
        <v>90</v>
      </c>
      <c r="C1" s="24" t="n">
        <v>46048</v>
      </c>
      <c r="D1" s="24" t="n">
        <v>46049</v>
      </c>
      <c r="E1" s="24" t="n">
        <v>46050</v>
      </c>
    </row>
    <row r="2" customFormat="false" ht="15.75" hidden="false" customHeight="true" outlineLevel="0" collapsed="false">
      <c r="A2" s="25" t="n">
        <v>1</v>
      </c>
      <c r="B2" s="20" t="n">
        <f aca="false">SUM(D2:P2)</f>
        <v>20</v>
      </c>
      <c r="C2" s="25"/>
      <c r="D2" s="25" t="n">
        <v>20</v>
      </c>
    </row>
    <row r="3" customFormat="false" ht="15.75" hidden="false" customHeight="true" outlineLevel="0" collapsed="false">
      <c r="A3" s="25" t="n">
        <v>2</v>
      </c>
      <c r="B3" s="20" t="n">
        <f aca="false">SUM(D3:P3)</f>
        <v>0</v>
      </c>
    </row>
    <row r="4" customFormat="false" ht="15.75" hidden="false" customHeight="true" outlineLevel="0" collapsed="false">
      <c r="A4" s="25" t="n">
        <v>3</v>
      </c>
      <c r="B4" s="20" t="n">
        <f aca="false">SUM(D4:P4)</f>
        <v>10</v>
      </c>
      <c r="C4" s="25" t="n">
        <v>20</v>
      </c>
      <c r="D4" s="25" t="n">
        <v>10</v>
      </c>
    </row>
    <row r="5" customFormat="false" ht="15.75" hidden="false" customHeight="true" outlineLevel="0" collapsed="false">
      <c r="A5" s="25" t="n">
        <v>4</v>
      </c>
      <c r="B5" s="20" t="n">
        <f aca="false">SUM(D5:P5)</f>
        <v>0</v>
      </c>
    </row>
    <row r="6" customFormat="false" ht="15.75" hidden="false" customHeight="true" outlineLevel="0" collapsed="false">
      <c r="A6" s="25" t="n">
        <v>5</v>
      </c>
      <c r="B6" s="20" t="n">
        <f aca="false">SUM(D6:P6)</f>
        <v>0</v>
      </c>
    </row>
    <row r="7" customFormat="false" ht="15.75" hidden="false" customHeight="true" outlineLevel="0" collapsed="false">
      <c r="A7" s="25" t="n">
        <v>6</v>
      </c>
      <c r="B7" s="20" t="n">
        <f aca="false">SUM(D7:P7)</f>
        <v>0</v>
      </c>
    </row>
    <row r="8" customFormat="false" ht="15.75" hidden="false" customHeight="true" outlineLevel="0" collapsed="false">
      <c r="A8" s="25" t="n">
        <v>7</v>
      </c>
      <c r="B8" s="20" t="n">
        <f aca="false">SUM(D8:P8)</f>
        <v>0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2026-02-13T14:29:00Z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